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anyao/Desktop/data236/semester2/lab2/"/>
    </mc:Choice>
  </mc:AlternateContent>
  <xr:revisionPtr revIDLastSave="0" documentId="13_ncr:1_{F0110316-38EE-0545-9190-F48E8E802366}" xr6:coauthVersionLast="47" xr6:coauthVersionMax="47" xr10:uidLastSave="{00000000-0000-0000-0000-000000000000}"/>
  <bookViews>
    <workbookView xWindow="580" yWindow="760" windowWidth="28240" windowHeight="17180" xr2:uid="{785F6A64-5E30-974D-BB2A-DCDB6B359C7A}"/>
  </bookViews>
  <sheets>
    <sheet name="result" sheetId="6" r:id="rId1"/>
    <sheet name="100" sheetId="1" r:id="rId2"/>
    <sheet name="200" sheetId="2" r:id="rId3"/>
    <sheet name="300" sheetId="3" r:id="rId4"/>
    <sheet name="400" sheetId="4" r:id="rId5"/>
    <sheet name="500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E8" i="6"/>
  <c r="F8" i="6"/>
  <c r="C8" i="6"/>
  <c r="B8" i="6"/>
</calcChain>
</file>

<file path=xl/sharedStrings.xml><?xml version="1.0" encoding="utf-8"?>
<sst xmlns="http://schemas.openxmlformats.org/spreadsheetml/2006/main" count="100" uniqueCount="21">
  <si>
    <t>Label</t>
  </si>
  <si>
    <t># Samples</t>
  </si>
  <si>
    <t>Average</t>
  </si>
  <si>
    <t>Min</t>
  </si>
  <si>
    <t>Max</t>
  </si>
  <si>
    <t>Std. Dev.</t>
  </si>
  <si>
    <t>Error %</t>
  </si>
  <si>
    <t>Throughput</t>
  </si>
  <si>
    <t>Received KB/sec</t>
  </si>
  <si>
    <t>Sent KB/sec</t>
  </si>
  <si>
    <t>Avg. Bytes</t>
  </si>
  <si>
    <t>Traveler Login (POST /api/auth/login)</t>
  </si>
  <si>
    <t>Search Properties (GET /api/properties/search)</t>
  </si>
  <si>
    <t>Create Booking (POST /api/traveler/bookings)</t>
  </si>
  <si>
    <t>Owner Login (POST /api/auth/login)</t>
  </si>
  <si>
    <t>Owner Accept (POST /api/owner/bookings/`:id/accept)</t>
  </si>
  <si>
    <t>Owner Cancel (POST /api/owner/bookings/:id/cancel)</t>
  </si>
  <si>
    <t>TOTAL</t>
  </si>
  <si>
    <t>Average Response Time (ms)</t>
    <phoneticPr fontId="1" type="noConversion"/>
  </si>
  <si>
    <t>Error %</t>
    <phoneticPr fontId="1" type="noConversion"/>
  </si>
  <si>
    <t>Average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</si>
</sst>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2" fillId="0" borderId="0" xfId="0" applyFont="1">
      <alignment vertical="center"/>
    </xf>
    <xf numFmtId="10" fontId="2" fillId="0" borderId="0" xfId="0" applyNumberFormat="1" applyFont="1">
      <alignment vertical="center"/>
    </xf>
    <xf numFmtId="180" fontId="0" fillId="0" borderId="0" xfId="0" applyNumberFormat="1">
      <alignment vertical="center"/>
    </xf>
    <xf numFmtId="180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Average Response Time vs Users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result!$A$8</c:f>
              <c:strCache>
                <c:ptCount val="1"/>
                <c:pt idx="0">
                  <c:v>Average (TOTAL)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result!$B$8:$F$8</c:f>
              <c:numCache>
                <c:formatCode>0.00_ </c:formatCode>
                <c:ptCount val="5"/>
                <c:pt idx="0">
                  <c:v>42</c:v>
                </c:pt>
                <c:pt idx="1">
                  <c:v>44.166666666666664</c:v>
                </c:pt>
                <c:pt idx="2">
                  <c:v>45.833333333333336</c:v>
                </c:pt>
                <c:pt idx="3">
                  <c:v>70.333333333333329</c:v>
                </c:pt>
                <c:pt idx="4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20-FA4D-B3AA-FB72EE55C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818784"/>
        <c:axId val="458811312"/>
      </c:lineChart>
      <c:catAx>
        <c:axId val="45881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/>
                  <a:t>Concurrent Users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8811312"/>
        <c:crosses val="autoZero"/>
        <c:auto val="1"/>
        <c:lblAlgn val="ctr"/>
        <c:lblOffset val="100"/>
        <c:noMultiLvlLbl val="0"/>
      </c:catAx>
      <c:valAx>
        <c:axId val="45881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/>
                  <a:t>Average Response Time (ms)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881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Throughput vs Users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result!$A$9</c:f>
              <c:strCache>
                <c:ptCount val="1"/>
                <c:pt idx="0">
                  <c:v>Throughput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result!$B$9:$F$9</c:f>
              <c:numCache>
                <c:formatCode>0.00_ </c:formatCode>
                <c:ptCount val="5"/>
                <c:pt idx="0">
                  <c:v>9.2926699999999993</c:v>
                </c:pt>
                <c:pt idx="1">
                  <c:v>17.648099999999999</c:v>
                </c:pt>
                <c:pt idx="2">
                  <c:v>13.287269999999999</c:v>
                </c:pt>
                <c:pt idx="3">
                  <c:v>25.555569999999999</c:v>
                </c:pt>
                <c:pt idx="4">
                  <c:v>32.477020000000003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51-8140-A9A2-4428E0D48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598752"/>
        <c:axId val="1737610272"/>
      </c:lineChart>
      <c:catAx>
        <c:axId val="1737598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/>
                  <a:t>Concurrent Users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7610272"/>
        <c:crosses val="autoZero"/>
        <c:auto val="1"/>
        <c:lblAlgn val="ctr"/>
        <c:lblOffset val="100"/>
        <c:noMultiLvlLbl val="0"/>
      </c:catAx>
      <c:valAx>
        <c:axId val="173761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/>
                  <a:t>Throughput (requests/sec)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759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850900</xdr:colOff>
      <xdr:row>13</xdr:row>
      <xdr:rowOff>177800</xdr:rowOff>
    </xdr:from>
    <xdr:to>
      <xdr:col>3</xdr:col>
      <xdr:colOff>508000</xdr:colOff>
      <xdr:row>28</xdr:row>
      <xdr:rowOff>63500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1D05AE6-8211-B6C5-0E70-E0A60008D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812800</xdr:colOff>
      <xdr:row>13</xdr:row>
      <xdr:rowOff>101600</xdr:rowOff>
    </xdr:from>
    <xdr:to>
      <xdr:col>10</xdr:col>
      <xdr:colOff>431800</xdr:colOff>
      <xdr:row>27</xdr:row>
      <xdr:rowOff>177800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25BF495C-047F-A7A6-DC39-9A9853EE1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CFA8-678D-7C4D-BCC2-4B202E7843FA}">
  <dimension ref="A1:F10"/>
  <sheetViews>
    <sheetView tabSelected="1" workbookViewId="0">
      <selection activeCell="E14" sqref="E14"/>
    </sheetView>
  </sheetViews>
  <sheetFormatPr baseColWidth="10" defaultRowHeight="15"/>
  <cols>
    <col min="1" max="1" width="42.83203125" customWidth="1"/>
  </cols>
  <sheetData>
    <row r="1" spans="1:6">
      <c r="A1" t="s">
        <v>18</v>
      </c>
      <c r="B1">
        <v>100</v>
      </c>
      <c r="C1">
        <v>200</v>
      </c>
      <c r="D1">
        <v>300</v>
      </c>
      <c r="E1">
        <v>400</v>
      </c>
      <c r="F1">
        <v>500</v>
      </c>
    </row>
    <row r="2" spans="1:6">
      <c r="A2" t="s">
        <v>11</v>
      </c>
      <c r="B2">
        <v>118</v>
      </c>
      <c r="C2" s="2">
        <v>124</v>
      </c>
      <c r="D2" s="2">
        <v>130</v>
      </c>
      <c r="E2" s="2">
        <v>168</v>
      </c>
      <c r="F2" s="2">
        <v>243</v>
      </c>
    </row>
    <row r="3" spans="1:6">
      <c r="A3" t="s">
        <v>12</v>
      </c>
      <c r="B3">
        <v>3</v>
      </c>
      <c r="C3" s="2">
        <v>3</v>
      </c>
      <c r="D3" s="2">
        <v>3</v>
      </c>
      <c r="E3" s="2">
        <v>4</v>
      </c>
      <c r="F3" s="2">
        <v>8</v>
      </c>
    </row>
    <row r="4" spans="1:6">
      <c r="A4" t="s">
        <v>13</v>
      </c>
      <c r="B4">
        <v>5</v>
      </c>
      <c r="C4" s="2">
        <v>6</v>
      </c>
      <c r="D4" s="2">
        <v>6</v>
      </c>
      <c r="E4" s="2">
        <v>10</v>
      </c>
      <c r="F4" s="2">
        <v>14</v>
      </c>
    </row>
    <row r="5" spans="1:6">
      <c r="A5" t="s">
        <v>14</v>
      </c>
      <c r="B5">
        <v>115</v>
      </c>
      <c r="C5" s="2">
        <v>121</v>
      </c>
      <c r="D5" s="2">
        <v>126</v>
      </c>
      <c r="E5" s="2">
        <v>222</v>
      </c>
      <c r="F5" s="2">
        <v>168</v>
      </c>
    </row>
    <row r="6" spans="1:6">
      <c r="A6" t="s">
        <v>15</v>
      </c>
      <c r="B6">
        <v>7</v>
      </c>
      <c r="C6" s="2">
        <v>7</v>
      </c>
      <c r="D6" s="2">
        <v>6</v>
      </c>
      <c r="E6" s="2">
        <v>10</v>
      </c>
      <c r="F6" s="2">
        <v>9</v>
      </c>
    </row>
    <row r="7" spans="1:6">
      <c r="A7" t="s">
        <v>16</v>
      </c>
      <c r="B7">
        <v>4</v>
      </c>
      <c r="C7" s="2">
        <v>4</v>
      </c>
      <c r="D7" s="2">
        <v>4</v>
      </c>
      <c r="E7" s="2">
        <v>8</v>
      </c>
      <c r="F7" s="2">
        <v>8</v>
      </c>
    </row>
    <row r="8" spans="1:6">
      <c r="A8" t="s">
        <v>20</v>
      </c>
      <c r="B8" s="4">
        <f>AVERAGE(B2:B7)</f>
        <v>42</v>
      </c>
      <c r="C8" s="4">
        <f>AVERAGE(C2:C7)</f>
        <v>44.166666666666664</v>
      </c>
      <c r="D8" s="4">
        <f t="shared" ref="D8:F8" si="0">AVERAGE(D2:D7)</f>
        <v>45.833333333333336</v>
      </c>
      <c r="E8" s="4">
        <f t="shared" si="0"/>
        <v>70.333333333333329</v>
      </c>
      <c r="F8" s="4">
        <f t="shared" si="0"/>
        <v>75</v>
      </c>
    </row>
    <row r="9" spans="1:6">
      <c r="A9" t="s">
        <v>7</v>
      </c>
      <c r="B9" s="4">
        <v>9.2926699999999993</v>
      </c>
      <c r="C9" s="5">
        <v>17.648099999999999</v>
      </c>
      <c r="D9" s="5">
        <v>13.287269999999999</v>
      </c>
      <c r="E9" s="5">
        <v>25.555569999999999</v>
      </c>
      <c r="F9" s="5">
        <v>32.477020000000003</v>
      </c>
    </row>
    <row r="10" spans="1:6">
      <c r="A10" t="s">
        <v>19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</row>
  </sheetData>
  <phoneticPr fontId="1" type="noConversion"/>
  <pageMargins left="0.7" right="0.7" top="0.75" bottom="0.75" header="0.3" footer="0.3"/>
  <ignoredErrors>
    <ignoredError sqref="B8:F8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5A334-75E7-DB4A-B2B5-697BD8C8358C}">
  <dimension ref="A1:K8"/>
  <sheetViews>
    <sheetView workbookViewId="0">
      <selection activeCell="I11" sqref="I11"/>
    </sheetView>
  </sheetViews>
  <sheetFormatPr baseColWidth="10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100</v>
      </c>
      <c r="C2">
        <v>118</v>
      </c>
      <c r="D2">
        <v>105</v>
      </c>
      <c r="E2">
        <v>200</v>
      </c>
      <c r="F2">
        <v>13.15</v>
      </c>
      <c r="G2" s="1">
        <v>0</v>
      </c>
      <c r="H2">
        <v>3.35751</v>
      </c>
      <c r="I2">
        <v>1.95</v>
      </c>
      <c r="J2">
        <v>0.78</v>
      </c>
      <c r="K2">
        <v>595.4</v>
      </c>
    </row>
    <row r="3" spans="1:11">
      <c r="A3" t="s">
        <v>12</v>
      </c>
      <c r="B3">
        <v>100</v>
      </c>
      <c r="C3">
        <v>3</v>
      </c>
      <c r="D3">
        <v>1</v>
      </c>
      <c r="E3">
        <v>30</v>
      </c>
      <c r="F3">
        <v>3.84</v>
      </c>
      <c r="G3" s="1">
        <v>0</v>
      </c>
      <c r="H3">
        <v>3.37975</v>
      </c>
      <c r="I3">
        <v>0.95</v>
      </c>
      <c r="J3">
        <v>1.1000000000000001</v>
      </c>
      <c r="K3">
        <v>289</v>
      </c>
    </row>
    <row r="4" spans="1:11">
      <c r="A4" t="s">
        <v>13</v>
      </c>
      <c r="B4">
        <v>100</v>
      </c>
      <c r="C4">
        <v>5</v>
      </c>
      <c r="D4">
        <v>3</v>
      </c>
      <c r="E4">
        <v>24</v>
      </c>
      <c r="F4">
        <v>3.24</v>
      </c>
      <c r="G4" s="1">
        <v>0</v>
      </c>
      <c r="H4">
        <v>3.38226</v>
      </c>
      <c r="I4">
        <v>1.07</v>
      </c>
      <c r="J4">
        <v>1.41</v>
      </c>
      <c r="K4">
        <v>324</v>
      </c>
    </row>
    <row r="5" spans="1:11">
      <c r="A5" t="s">
        <v>14</v>
      </c>
      <c r="B5">
        <v>100</v>
      </c>
      <c r="C5">
        <v>115</v>
      </c>
      <c r="D5">
        <v>107</v>
      </c>
      <c r="E5">
        <v>133</v>
      </c>
      <c r="F5">
        <v>4.57</v>
      </c>
      <c r="G5" s="1">
        <v>0</v>
      </c>
      <c r="H5">
        <v>3.35053</v>
      </c>
      <c r="I5">
        <v>1.91</v>
      </c>
      <c r="J5">
        <v>0.76</v>
      </c>
      <c r="K5">
        <v>583.5</v>
      </c>
    </row>
    <row r="6" spans="1:11">
      <c r="A6" t="s">
        <v>15</v>
      </c>
      <c r="B6">
        <v>100</v>
      </c>
      <c r="C6">
        <v>7</v>
      </c>
      <c r="D6">
        <v>4</v>
      </c>
      <c r="E6">
        <v>17</v>
      </c>
      <c r="F6">
        <v>2.34</v>
      </c>
      <c r="G6" s="1">
        <v>0</v>
      </c>
      <c r="H6">
        <v>3.3651900000000001</v>
      </c>
      <c r="I6">
        <v>1.06</v>
      </c>
      <c r="J6">
        <v>1.0900000000000001</v>
      </c>
      <c r="K6">
        <v>322</v>
      </c>
    </row>
    <row r="7" spans="1:11">
      <c r="A7" t="s">
        <v>16</v>
      </c>
      <c r="B7">
        <v>100</v>
      </c>
      <c r="C7">
        <v>4</v>
      </c>
      <c r="D7">
        <v>2</v>
      </c>
      <c r="E7">
        <v>16</v>
      </c>
      <c r="F7">
        <v>2.08</v>
      </c>
      <c r="G7" s="1">
        <v>0</v>
      </c>
      <c r="H7">
        <v>3.3658700000000001</v>
      </c>
      <c r="I7">
        <v>1.06</v>
      </c>
      <c r="J7">
        <v>1.0900000000000001</v>
      </c>
      <c r="K7">
        <v>323</v>
      </c>
    </row>
    <row r="8" spans="1:11">
      <c r="A8" t="s">
        <v>17</v>
      </c>
      <c r="B8">
        <v>600</v>
      </c>
      <c r="C8">
        <v>42</v>
      </c>
      <c r="D8">
        <v>1</v>
      </c>
      <c r="E8">
        <v>200</v>
      </c>
      <c r="F8">
        <v>53.03</v>
      </c>
      <c r="G8" s="1">
        <v>0</v>
      </c>
      <c r="H8">
        <v>9.2926699999999993</v>
      </c>
      <c r="I8">
        <v>3.69</v>
      </c>
      <c r="J8">
        <v>2.87</v>
      </c>
      <c r="K8">
        <v>406.2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FD66-8EC0-434C-8F9E-1F8E4649C6F1}">
  <dimension ref="A1:K8"/>
  <sheetViews>
    <sheetView workbookViewId="0">
      <selection activeCell="H32" sqref="H32"/>
    </sheetView>
  </sheetViews>
  <sheetFormatPr baseColWidth="10" defaultRowHeight="15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 t="s">
        <v>11</v>
      </c>
      <c r="B2" s="2">
        <v>200</v>
      </c>
      <c r="C2" s="2">
        <v>124</v>
      </c>
      <c r="D2" s="2">
        <v>105</v>
      </c>
      <c r="E2" s="2">
        <v>512</v>
      </c>
      <c r="F2" s="2">
        <v>44.11</v>
      </c>
      <c r="G2" s="3">
        <v>0</v>
      </c>
      <c r="H2" s="2">
        <v>6.67401</v>
      </c>
      <c r="I2" s="2">
        <v>3.88</v>
      </c>
      <c r="J2" s="2">
        <v>1.55</v>
      </c>
      <c r="K2" s="2">
        <v>595.1</v>
      </c>
    </row>
    <row r="3" spans="1:11">
      <c r="A3" s="2" t="s">
        <v>12</v>
      </c>
      <c r="B3" s="2">
        <v>200</v>
      </c>
      <c r="C3" s="2">
        <v>3</v>
      </c>
      <c r="D3" s="2">
        <v>1</v>
      </c>
      <c r="E3" s="2">
        <v>17</v>
      </c>
      <c r="F3" s="2">
        <v>2.42</v>
      </c>
      <c r="G3" s="3">
        <v>0</v>
      </c>
      <c r="H3" s="2">
        <v>6.70174</v>
      </c>
      <c r="I3" s="2">
        <v>1.89</v>
      </c>
      <c r="J3" s="2">
        <v>2.1800000000000002</v>
      </c>
      <c r="K3" s="2">
        <v>289</v>
      </c>
    </row>
    <row r="4" spans="1:11">
      <c r="A4" s="2" t="s">
        <v>13</v>
      </c>
      <c r="B4" s="2">
        <v>200</v>
      </c>
      <c r="C4" s="2">
        <v>6</v>
      </c>
      <c r="D4" s="2">
        <v>2</v>
      </c>
      <c r="E4" s="2">
        <v>47</v>
      </c>
      <c r="F4" s="2">
        <v>5.87</v>
      </c>
      <c r="G4" s="3">
        <v>0</v>
      </c>
      <c r="H4" s="2">
        <v>6.7012900000000002</v>
      </c>
      <c r="I4" s="2">
        <v>2.12</v>
      </c>
      <c r="J4" s="2">
        <v>2.8</v>
      </c>
      <c r="K4" s="2">
        <v>324</v>
      </c>
    </row>
    <row r="5" spans="1:11">
      <c r="A5" s="2" t="s">
        <v>14</v>
      </c>
      <c r="B5" s="2">
        <v>200</v>
      </c>
      <c r="C5" s="2">
        <v>121</v>
      </c>
      <c r="D5" s="2">
        <v>105</v>
      </c>
      <c r="E5" s="2">
        <v>398</v>
      </c>
      <c r="F5" s="2">
        <v>36.5</v>
      </c>
      <c r="G5" s="3">
        <v>0</v>
      </c>
      <c r="H5" s="2">
        <v>6.6744500000000002</v>
      </c>
      <c r="I5" s="2">
        <v>3.8</v>
      </c>
      <c r="J5" s="2">
        <v>1.51</v>
      </c>
      <c r="K5" s="2">
        <v>583.5</v>
      </c>
    </row>
    <row r="6" spans="1:11">
      <c r="A6" s="2" t="s">
        <v>15</v>
      </c>
      <c r="B6" s="2">
        <v>200</v>
      </c>
      <c r="C6" s="2">
        <v>7</v>
      </c>
      <c r="D6" s="2">
        <v>3</v>
      </c>
      <c r="E6" s="2">
        <v>60</v>
      </c>
      <c r="F6" s="2">
        <v>6.49</v>
      </c>
      <c r="G6" s="3">
        <v>0</v>
      </c>
      <c r="H6" s="2">
        <v>6.6979199999999999</v>
      </c>
      <c r="I6" s="2">
        <v>2.11</v>
      </c>
      <c r="J6" s="2">
        <v>2.17</v>
      </c>
      <c r="K6" s="2">
        <v>322</v>
      </c>
    </row>
    <row r="7" spans="1:11">
      <c r="A7" s="2" t="s">
        <v>16</v>
      </c>
      <c r="B7" s="2">
        <v>200</v>
      </c>
      <c r="C7" s="2">
        <v>4</v>
      </c>
      <c r="D7" s="2">
        <v>2</v>
      </c>
      <c r="E7" s="2">
        <v>25</v>
      </c>
      <c r="F7" s="2">
        <v>3.36</v>
      </c>
      <c r="G7" s="3">
        <v>0</v>
      </c>
      <c r="H7" s="2">
        <v>6.6988200000000004</v>
      </c>
      <c r="I7" s="2">
        <v>2.11</v>
      </c>
      <c r="J7" s="2">
        <v>2.17</v>
      </c>
      <c r="K7" s="2">
        <v>323</v>
      </c>
    </row>
    <row r="8" spans="1:11">
      <c r="A8" s="2" t="s">
        <v>17</v>
      </c>
      <c r="B8" s="2">
        <v>1200</v>
      </c>
      <c r="C8" s="2">
        <v>44</v>
      </c>
      <c r="D8" s="2">
        <v>1</v>
      </c>
      <c r="E8" s="2">
        <v>512</v>
      </c>
      <c r="F8" s="2">
        <v>60.17</v>
      </c>
      <c r="G8" s="3">
        <v>0</v>
      </c>
      <c r="H8" s="2">
        <v>17.648099999999999</v>
      </c>
      <c r="I8" s="2">
        <v>7</v>
      </c>
      <c r="J8" s="2">
        <v>5.44</v>
      </c>
      <c r="K8" s="2">
        <v>406.1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0BB9-3DDE-E346-845F-A55ED220359A}">
  <dimension ref="A1:K8"/>
  <sheetViews>
    <sheetView workbookViewId="0">
      <selection activeCell="H8" sqref="H8"/>
    </sheetView>
  </sheetViews>
  <sheetFormatPr baseColWidth="10" defaultRowHeight="15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 t="s">
        <v>11</v>
      </c>
      <c r="B2" s="2">
        <v>300</v>
      </c>
      <c r="C2" s="2">
        <v>130</v>
      </c>
      <c r="D2" s="2">
        <v>105</v>
      </c>
      <c r="E2" s="2">
        <v>704</v>
      </c>
      <c r="F2" s="2">
        <v>68.88</v>
      </c>
      <c r="G2" s="3">
        <v>0</v>
      </c>
      <c r="H2" s="2">
        <v>9.9963300000000004</v>
      </c>
      <c r="I2" s="2">
        <v>5.81</v>
      </c>
      <c r="J2" s="2">
        <v>2.33</v>
      </c>
      <c r="K2" s="2">
        <v>595.29999999999995</v>
      </c>
    </row>
    <row r="3" spans="1:11">
      <c r="A3" s="2" t="s">
        <v>12</v>
      </c>
      <c r="B3" s="2">
        <v>300</v>
      </c>
      <c r="C3" s="2">
        <v>3</v>
      </c>
      <c r="D3" s="2">
        <v>1</v>
      </c>
      <c r="E3" s="2">
        <v>174</v>
      </c>
      <c r="F3" s="2">
        <v>10.37</v>
      </c>
      <c r="G3" s="3">
        <v>0</v>
      </c>
      <c r="H3" s="2">
        <v>10.032769999999999</v>
      </c>
      <c r="I3" s="2">
        <v>2.83</v>
      </c>
      <c r="J3" s="2">
        <v>3.27</v>
      </c>
      <c r="K3" s="2">
        <v>289</v>
      </c>
    </row>
    <row r="4" spans="1:11">
      <c r="A4" s="2" t="s">
        <v>13</v>
      </c>
      <c r="B4" s="2">
        <v>300</v>
      </c>
      <c r="C4" s="2">
        <v>6</v>
      </c>
      <c r="D4" s="2">
        <v>2</v>
      </c>
      <c r="E4" s="2">
        <v>61</v>
      </c>
      <c r="F4" s="2">
        <v>6.37</v>
      </c>
      <c r="G4" s="3">
        <v>0</v>
      </c>
      <c r="H4" s="2">
        <v>10.032769999999999</v>
      </c>
      <c r="I4" s="2">
        <v>3.17</v>
      </c>
      <c r="J4" s="2">
        <v>4.1900000000000004</v>
      </c>
      <c r="K4" s="2">
        <v>324</v>
      </c>
    </row>
    <row r="5" spans="1:11">
      <c r="A5" s="2" t="s">
        <v>14</v>
      </c>
      <c r="B5" s="2">
        <v>300</v>
      </c>
      <c r="C5" s="2">
        <v>126</v>
      </c>
      <c r="D5" s="2">
        <v>105</v>
      </c>
      <c r="E5" s="2">
        <v>585</v>
      </c>
      <c r="F5" s="2">
        <v>55.93</v>
      </c>
      <c r="G5" s="3">
        <v>0</v>
      </c>
      <c r="H5" s="2">
        <v>10.008010000000001</v>
      </c>
      <c r="I5" s="2">
        <v>5.7</v>
      </c>
      <c r="J5" s="2">
        <v>2.27</v>
      </c>
      <c r="K5" s="2">
        <v>583.5</v>
      </c>
    </row>
    <row r="6" spans="1:11">
      <c r="A6" s="2" t="s">
        <v>15</v>
      </c>
      <c r="B6" s="2">
        <v>300</v>
      </c>
      <c r="C6" s="2">
        <v>6</v>
      </c>
      <c r="D6" s="2">
        <v>3</v>
      </c>
      <c r="E6" s="2">
        <v>105</v>
      </c>
      <c r="F6" s="2">
        <v>6.56</v>
      </c>
      <c r="G6" s="3">
        <v>0</v>
      </c>
      <c r="H6" s="2">
        <v>10.049910000000001</v>
      </c>
      <c r="I6" s="2">
        <v>3.16</v>
      </c>
      <c r="J6" s="2">
        <v>3.25</v>
      </c>
      <c r="K6" s="2">
        <v>322</v>
      </c>
    </row>
    <row r="7" spans="1:11">
      <c r="A7" s="2" t="s">
        <v>16</v>
      </c>
      <c r="B7" s="2">
        <v>300</v>
      </c>
      <c r="C7" s="2">
        <v>4</v>
      </c>
      <c r="D7" s="2">
        <v>2</v>
      </c>
      <c r="E7" s="2">
        <v>76</v>
      </c>
      <c r="F7" s="2">
        <v>4.8600000000000003</v>
      </c>
      <c r="G7" s="3">
        <v>0</v>
      </c>
      <c r="H7" s="2">
        <v>10.054970000000001</v>
      </c>
      <c r="I7" s="2">
        <v>3.17</v>
      </c>
      <c r="J7" s="2">
        <v>3.26</v>
      </c>
      <c r="K7" s="2">
        <v>323</v>
      </c>
    </row>
    <row r="8" spans="1:11">
      <c r="A8" s="2" t="s">
        <v>17</v>
      </c>
      <c r="B8" s="2">
        <v>1800</v>
      </c>
      <c r="C8" s="2">
        <v>46</v>
      </c>
      <c r="D8" s="2">
        <v>1</v>
      </c>
      <c r="E8" s="2">
        <v>704</v>
      </c>
      <c r="F8" s="2">
        <v>68.7</v>
      </c>
      <c r="G8" s="3">
        <v>0</v>
      </c>
      <c r="H8" s="2">
        <v>13.287269999999999</v>
      </c>
      <c r="I8" s="2">
        <v>5.27</v>
      </c>
      <c r="J8" s="2">
        <v>4.0999999999999996</v>
      </c>
      <c r="K8" s="2">
        <v>406.1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CB5B0-E91D-D840-9340-7CD6D45F5AB7}">
  <dimension ref="A1:K8"/>
  <sheetViews>
    <sheetView workbookViewId="0">
      <selection activeCell="H8" sqref="H8"/>
    </sheetView>
  </sheetViews>
  <sheetFormatPr baseColWidth="10" defaultRowHeight="15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 t="s">
        <v>11</v>
      </c>
      <c r="B2" s="2">
        <v>400</v>
      </c>
      <c r="C2" s="2">
        <v>168</v>
      </c>
      <c r="D2" s="2">
        <v>105</v>
      </c>
      <c r="E2" s="2">
        <v>781</v>
      </c>
      <c r="F2" s="2">
        <v>107.83</v>
      </c>
      <c r="G2" s="3">
        <v>0</v>
      </c>
      <c r="H2" s="2">
        <v>13.30982</v>
      </c>
      <c r="I2" s="2">
        <v>7.74</v>
      </c>
      <c r="J2" s="2">
        <v>3.1</v>
      </c>
      <c r="K2" s="2">
        <v>595.1</v>
      </c>
    </row>
    <row r="3" spans="1:11">
      <c r="A3" s="2" t="s">
        <v>12</v>
      </c>
      <c r="B3" s="2">
        <v>400</v>
      </c>
      <c r="C3" s="2">
        <v>4</v>
      </c>
      <c r="D3" s="2">
        <v>1</v>
      </c>
      <c r="E3" s="2">
        <v>184</v>
      </c>
      <c r="F3" s="2">
        <v>10.23</v>
      </c>
      <c r="G3" s="3">
        <v>0</v>
      </c>
      <c r="H3" s="2">
        <v>13.372109999999999</v>
      </c>
      <c r="I3" s="2">
        <v>3.77</v>
      </c>
      <c r="J3" s="2">
        <v>4.3600000000000003</v>
      </c>
      <c r="K3" s="2">
        <v>289</v>
      </c>
    </row>
    <row r="4" spans="1:11">
      <c r="A4" s="2" t="s">
        <v>13</v>
      </c>
      <c r="B4" s="2">
        <v>400</v>
      </c>
      <c r="C4" s="2">
        <v>10</v>
      </c>
      <c r="D4" s="2">
        <v>2</v>
      </c>
      <c r="E4" s="2">
        <v>231</v>
      </c>
      <c r="F4" s="2">
        <v>18.75</v>
      </c>
      <c r="G4" s="3">
        <v>0</v>
      </c>
      <c r="H4" s="2">
        <v>13.382849999999999</v>
      </c>
      <c r="I4" s="2">
        <v>4.24</v>
      </c>
      <c r="J4" s="2">
        <v>5.59</v>
      </c>
      <c r="K4" s="2">
        <v>324.3</v>
      </c>
    </row>
    <row r="5" spans="1:11">
      <c r="A5" s="2" t="s">
        <v>14</v>
      </c>
      <c r="B5" s="2">
        <v>400</v>
      </c>
      <c r="C5" s="2">
        <v>222</v>
      </c>
      <c r="D5" s="2">
        <v>105</v>
      </c>
      <c r="E5" s="2">
        <v>1295</v>
      </c>
      <c r="F5" s="2">
        <v>254.07</v>
      </c>
      <c r="G5" s="3">
        <v>0</v>
      </c>
      <c r="H5" s="2">
        <v>13.286390000000001</v>
      </c>
      <c r="I5" s="2">
        <v>7.57</v>
      </c>
      <c r="J5" s="2">
        <v>3.01</v>
      </c>
      <c r="K5" s="2">
        <v>583.6</v>
      </c>
    </row>
    <row r="6" spans="1:11">
      <c r="A6" s="2" t="s">
        <v>15</v>
      </c>
      <c r="B6" s="2">
        <v>400</v>
      </c>
      <c r="C6" s="2">
        <v>10</v>
      </c>
      <c r="D6" s="2">
        <v>2</v>
      </c>
      <c r="E6" s="2">
        <v>783</v>
      </c>
      <c r="F6" s="2">
        <v>39.520000000000003</v>
      </c>
      <c r="G6" s="3">
        <v>0</v>
      </c>
      <c r="H6" s="2">
        <v>13.481629999999999</v>
      </c>
      <c r="I6" s="2">
        <v>4.24</v>
      </c>
      <c r="J6" s="2">
        <v>4.37</v>
      </c>
      <c r="K6" s="2">
        <v>322.3</v>
      </c>
    </row>
    <row r="7" spans="1:11">
      <c r="A7" s="2" t="s">
        <v>16</v>
      </c>
      <c r="B7" s="2">
        <v>400</v>
      </c>
      <c r="C7" s="2">
        <v>8</v>
      </c>
      <c r="D7" s="2">
        <v>2</v>
      </c>
      <c r="E7" s="2">
        <v>428</v>
      </c>
      <c r="F7" s="2">
        <v>23.14</v>
      </c>
      <c r="G7" s="3">
        <v>0</v>
      </c>
      <c r="H7" s="2">
        <v>13.50484</v>
      </c>
      <c r="I7" s="2">
        <v>4.26</v>
      </c>
      <c r="J7" s="2">
        <v>4.38</v>
      </c>
      <c r="K7" s="2">
        <v>323.3</v>
      </c>
    </row>
    <row r="8" spans="1:11">
      <c r="A8" s="2" t="s">
        <v>17</v>
      </c>
      <c r="B8" s="2">
        <v>2400</v>
      </c>
      <c r="C8" s="2">
        <v>70</v>
      </c>
      <c r="D8" s="2">
        <v>1</v>
      </c>
      <c r="E8" s="2">
        <v>1295</v>
      </c>
      <c r="F8" s="2">
        <v>145.33000000000001</v>
      </c>
      <c r="G8" s="3">
        <v>0</v>
      </c>
      <c r="H8" s="2">
        <v>25.555569999999999</v>
      </c>
      <c r="I8" s="2">
        <v>10.14</v>
      </c>
      <c r="J8" s="2">
        <v>7.88</v>
      </c>
      <c r="K8" s="2">
        <v>406.2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CEF2-B0AA-984A-A070-244FA380AFC8}">
  <dimension ref="A1:K8"/>
  <sheetViews>
    <sheetView workbookViewId="0">
      <selection activeCell="H8" sqref="H8"/>
    </sheetView>
  </sheetViews>
  <sheetFormatPr baseColWidth="10" defaultRowHeight="15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 t="s">
        <v>11</v>
      </c>
      <c r="B2" s="2">
        <v>500</v>
      </c>
      <c r="C2" s="2">
        <v>243</v>
      </c>
      <c r="D2" s="2">
        <v>106</v>
      </c>
      <c r="E2" s="2">
        <v>1162</v>
      </c>
      <c r="F2" s="2">
        <v>214.15</v>
      </c>
      <c r="G2" s="3">
        <v>0</v>
      </c>
      <c r="H2" s="2">
        <v>16.637830000000001</v>
      </c>
      <c r="I2" s="2">
        <v>9.67</v>
      </c>
      <c r="J2" s="2">
        <v>3.88</v>
      </c>
      <c r="K2" s="2">
        <v>595.20000000000005</v>
      </c>
    </row>
    <row r="3" spans="1:11">
      <c r="A3" s="2" t="s">
        <v>12</v>
      </c>
      <c r="B3" s="2">
        <v>500</v>
      </c>
      <c r="C3" s="2">
        <v>8</v>
      </c>
      <c r="D3" s="2">
        <v>1</v>
      </c>
      <c r="E3" s="2">
        <v>316</v>
      </c>
      <c r="F3" s="2">
        <v>20.329999999999998</v>
      </c>
      <c r="G3" s="3">
        <v>0</v>
      </c>
      <c r="H3" s="2">
        <v>16.72241</v>
      </c>
      <c r="I3" s="2">
        <v>4.72</v>
      </c>
      <c r="J3" s="2">
        <v>5.45</v>
      </c>
      <c r="K3" s="2">
        <v>289</v>
      </c>
    </row>
    <row r="4" spans="1:11">
      <c r="A4" s="2" t="s">
        <v>13</v>
      </c>
      <c r="B4" s="2">
        <v>500</v>
      </c>
      <c r="C4" s="2">
        <v>14</v>
      </c>
      <c r="D4" s="2">
        <v>2</v>
      </c>
      <c r="E4" s="2">
        <v>287</v>
      </c>
      <c r="F4" s="2">
        <v>22.94</v>
      </c>
      <c r="G4" s="3">
        <v>0</v>
      </c>
      <c r="H4" s="2">
        <v>16.746490000000001</v>
      </c>
      <c r="I4" s="2">
        <v>5.32</v>
      </c>
      <c r="J4" s="2">
        <v>6.99</v>
      </c>
      <c r="K4" s="2">
        <v>325</v>
      </c>
    </row>
    <row r="5" spans="1:11">
      <c r="A5" s="2" t="s">
        <v>14</v>
      </c>
      <c r="B5" s="2">
        <v>500</v>
      </c>
      <c r="C5" s="2">
        <v>168</v>
      </c>
      <c r="D5" s="2">
        <v>105</v>
      </c>
      <c r="E5" s="2">
        <v>778</v>
      </c>
      <c r="F5" s="2">
        <v>124.63</v>
      </c>
      <c r="G5" s="3">
        <v>0</v>
      </c>
      <c r="H5" s="2">
        <v>16.650020000000001</v>
      </c>
      <c r="I5" s="2">
        <v>9.49</v>
      </c>
      <c r="J5" s="2">
        <v>3.77</v>
      </c>
      <c r="K5" s="2">
        <v>583.70000000000005</v>
      </c>
    </row>
    <row r="6" spans="1:11">
      <c r="A6" s="2" t="s">
        <v>15</v>
      </c>
      <c r="B6" s="2">
        <v>500</v>
      </c>
      <c r="C6" s="2">
        <v>9</v>
      </c>
      <c r="D6" s="2">
        <v>2</v>
      </c>
      <c r="E6" s="2">
        <v>336</v>
      </c>
      <c r="F6" s="2">
        <v>18.78</v>
      </c>
      <c r="G6" s="3">
        <v>0</v>
      </c>
      <c r="H6" s="2">
        <v>16.715140000000002</v>
      </c>
      <c r="I6" s="2">
        <v>5.27</v>
      </c>
      <c r="J6" s="2">
        <v>5.43</v>
      </c>
      <c r="K6" s="2">
        <v>323</v>
      </c>
    </row>
    <row r="7" spans="1:11">
      <c r="A7" s="2" t="s">
        <v>16</v>
      </c>
      <c r="B7" s="2">
        <v>500</v>
      </c>
      <c r="C7" s="2">
        <v>8</v>
      </c>
      <c r="D7" s="2">
        <v>1</v>
      </c>
      <c r="E7" s="2">
        <v>386</v>
      </c>
      <c r="F7" s="2">
        <v>19</v>
      </c>
      <c r="G7" s="3">
        <v>0</v>
      </c>
      <c r="H7" s="2">
        <v>16.717939999999999</v>
      </c>
      <c r="I7" s="2">
        <v>5.29</v>
      </c>
      <c r="J7" s="2">
        <v>5.43</v>
      </c>
      <c r="K7" s="2">
        <v>324</v>
      </c>
    </row>
    <row r="8" spans="1:11">
      <c r="A8" s="2" t="s">
        <v>17</v>
      </c>
      <c r="B8" s="2">
        <v>3000</v>
      </c>
      <c r="C8" s="2">
        <v>75</v>
      </c>
      <c r="D8" s="2">
        <v>1</v>
      </c>
      <c r="E8" s="2">
        <v>1162</v>
      </c>
      <c r="F8" s="2">
        <v>139.75</v>
      </c>
      <c r="G8" s="3">
        <v>0</v>
      </c>
      <c r="H8" s="2">
        <v>32.477020000000003</v>
      </c>
      <c r="I8" s="2">
        <v>12.9</v>
      </c>
      <c r="J8" s="2">
        <v>10.029999999999999</v>
      </c>
      <c r="K8" s="2">
        <v>406.7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result</vt:lpstr>
      <vt:lpstr>100</vt:lpstr>
      <vt:lpstr>200</vt:lpstr>
      <vt:lpstr>300</vt:lpstr>
      <vt:lpstr>400</vt:lpstr>
      <vt:lpstr>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Yi-An Yao</dc:creator>
  <cp:lastModifiedBy>Yi-An Yao</cp:lastModifiedBy>
  <dcterms:created xsi:type="dcterms:W3CDTF">2025-11-22T08:17:01Z</dcterms:created>
  <dcterms:modified xsi:type="dcterms:W3CDTF">2025-11-22T08:45:39Z</dcterms:modified>
</cp:coreProperties>
</file>